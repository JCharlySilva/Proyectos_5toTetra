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istrador\Documents\Charly\Maestria TecMilenio\a_Maestria\5to Tetramestre\1.- Visualización efectiva de datos\2.- Actividad 2\"/>
    </mc:Choice>
  </mc:AlternateContent>
  <xr:revisionPtr revIDLastSave="0" documentId="13_ncr:1_{B8D42BC6-589B-473B-B3C7-4CFB889F1DC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agos_Mantenimiento_2026" sheetId="1" r:id="rId1"/>
    <sheet name="Diccionario_Datos" sheetId="2" r:id="rId2"/>
  </sheets>
  <definedNames>
    <definedName name="_xlnm._FilterDatabase" localSheetId="0" hidden="1">Pagos_Mantenimiento_2026!$A$1:$O$54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2" i="1"/>
</calcChain>
</file>

<file path=xl/sharedStrings.xml><?xml version="1.0" encoding="utf-8"?>
<sst xmlns="http://schemas.openxmlformats.org/spreadsheetml/2006/main" count="583" uniqueCount="138">
  <si>
    <t>Casa</t>
  </si>
  <si>
    <t>Propietario</t>
  </si>
  <si>
    <t>Descripción</t>
  </si>
  <si>
    <t>Mes</t>
  </si>
  <si>
    <t>Año</t>
  </si>
  <si>
    <t>Pagado</t>
  </si>
  <si>
    <t>Referencia</t>
  </si>
  <si>
    <t>Daniel Flores</t>
  </si>
  <si>
    <t>Propietario Residente</t>
  </si>
  <si>
    <t>Pago Mantenimiento</t>
  </si>
  <si>
    <t>Enero</t>
  </si>
  <si>
    <t>No</t>
  </si>
  <si>
    <t>NA</t>
  </si>
  <si>
    <t>Con adeudo</t>
  </si>
  <si>
    <t>Ricardo Nuñez</t>
  </si>
  <si>
    <t>Inquilino - Renta</t>
  </si>
  <si>
    <t>Adriana Gomez</t>
  </si>
  <si>
    <t>Arturo Lopez</t>
  </si>
  <si>
    <t>Jorge Rivas</t>
  </si>
  <si>
    <t>Sí</t>
  </si>
  <si>
    <t>16/01/2026</t>
  </si>
  <si>
    <t>Efectivo</t>
  </si>
  <si>
    <t>Al corriente</t>
  </si>
  <si>
    <t>Lucia Herrera</t>
  </si>
  <si>
    <t>07/01/2026</t>
  </si>
  <si>
    <t>Transferencia</t>
  </si>
  <si>
    <t>04/01/2026</t>
  </si>
  <si>
    <t>Miguel Torres</t>
  </si>
  <si>
    <t>19/01/2026</t>
  </si>
  <si>
    <t>Paola Castillo</t>
  </si>
  <si>
    <t>05/01/2026</t>
  </si>
  <si>
    <t>11/01/2026</t>
  </si>
  <si>
    <t>08/01/2026</t>
  </si>
  <si>
    <t>03/01/2026</t>
  </si>
  <si>
    <t>Fernanda Soto</t>
  </si>
  <si>
    <t>01/01/2026</t>
  </si>
  <si>
    <t>Ana Morales</t>
  </si>
  <si>
    <t>13/01/2026</t>
  </si>
  <si>
    <t>Carlos Ruiz</t>
  </si>
  <si>
    <t>06/01/2026</t>
  </si>
  <si>
    <t>Margarita Buendía</t>
  </si>
  <si>
    <t>18/01/2026</t>
  </si>
  <si>
    <t>02/01/2026</t>
  </si>
  <si>
    <t>10/01/2026</t>
  </si>
  <si>
    <t>Nombre de la variable</t>
  </si>
  <si>
    <t>Tipo de dato</t>
  </si>
  <si>
    <t>Clasificación</t>
  </si>
  <si>
    <t>Ejemplo de valores</t>
  </si>
  <si>
    <t>Numérico</t>
  </si>
  <si>
    <t>Identificador</t>
  </si>
  <si>
    <t>Número único asignado a cada casa dentro de la privada.</t>
  </si>
  <si>
    <t>1, 2, 3</t>
  </si>
  <si>
    <t>Texto</t>
  </si>
  <si>
    <t>Cualitativa nominal</t>
  </si>
  <si>
    <t>Nombre del propietario o responsable del pago de la vivienda.</t>
  </si>
  <si>
    <t>Arturo López</t>
  </si>
  <si>
    <t>Tipo de ocupación de la vivienda.</t>
  </si>
  <si>
    <t>Propietario Residente, Inquilino – Renta</t>
  </si>
  <si>
    <t>Concepto del movimiento registrado en el periodo</t>
  </si>
  <si>
    <t>Cualitativa ordinal</t>
  </si>
  <si>
    <t>Mes/Periodo correspondiente al registro del pago.</t>
  </si>
  <si>
    <t>Enero, Febrero,Marzo, Abril, etc</t>
  </si>
  <si>
    <t>Cuantitativa discreta</t>
  </si>
  <si>
    <t>Año al que corresponde el pago del mantenimiento.</t>
  </si>
  <si>
    <t>Cuantitativa continua</t>
  </si>
  <si>
    <t>Monto fijo del mantenimiento mensual de la vivienda.</t>
  </si>
  <si>
    <t>Monto adicional aplicado cuando el pago se realiza después del día 10 del mes.</t>
  </si>
  <si>
    <t>Pagado (Sí/No)</t>
  </si>
  <si>
    <t>Indica si el mantenimiento del mes fue pagado o no.</t>
  </si>
  <si>
    <t>Sí, No</t>
  </si>
  <si>
    <t>Fecha</t>
  </si>
  <si>
    <t>Temporal</t>
  </si>
  <si>
    <t>Fecha en la que se realizó el pago del mantenimiento.</t>
  </si>
  <si>
    <t>Indica la puntualidad del pago mensual.</t>
  </si>
  <si>
    <t>En tiempo, Con demora y multa</t>
  </si>
  <si>
    <t>Metodo utilizado para realizar el pago.</t>
  </si>
  <si>
    <t>Efectivo, Transferencia</t>
  </si>
  <si>
    <t>Identificador de la transferencia o comprobante, cuando aplica. Inicia con "Casa01_MesAño"</t>
  </si>
  <si>
    <t>Casa01_Enero2026</t>
  </si>
  <si>
    <t>Situación financiera de la vivienda al cierre del periodo.</t>
  </si>
  <si>
    <t>Al corriente, Con adeudo, Saldo a favor</t>
  </si>
  <si>
    <t>Número de meses consecutivos sin cubrir el mantenimiento.</t>
  </si>
  <si>
    <t>0, 1, 2</t>
  </si>
  <si>
    <t>Identificación_de_Casa</t>
  </si>
  <si>
    <t>Monto_Cuota_Mensual</t>
  </si>
  <si>
    <t>Multa_Pago_Tardio</t>
  </si>
  <si>
    <t>Fecha_de_Pago</t>
  </si>
  <si>
    <t>Estatus_Pago</t>
  </si>
  <si>
    <t>Forma _de_Pago</t>
  </si>
  <si>
    <t>Estatus_Casa_Fin_Mes</t>
  </si>
  <si>
    <t>Meses_con_Adeudo</t>
  </si>
  <si>
    <r>
      <rPr>
        <b/>
        <sz val="11"/>
        <color theme="1"/>
        <rFont val="Calibri"/>
        <family val="2"/>
        <scheme val="minor"/>
      </rPr>
      <t>NOTA:</t>
    </r>
    <r>
      <rPr>
        <sz val="11"/>
        <color theme="1"/>
        <rFont val="Calibri"/>
        <family val="2"/>
        <scheme val="minor"/>
      </rPr>
      <t xml:space="preserve"> El "Estatus_Pago" refleja la puntualidad con la que se realiza el pago mensual. 
El "Estatus_Casa_Fin_Mes" representa la situación financiera en cuanto al pago de mantenimiento final de la vivienda al cierre del periodo, considerando pagos, multas y adeudos.</t>
    </r>
  </si>
  <si>
    <t>Pago tardío</t>
  </si>
  <si>
    <t>Pago puntual</t>
  </si>
  <si>
    <t>Pago no realizado</t>
  </si>
  <si>
    <t>Si</t>
  </si>
  <si>
    <t>Monto_Adeudado</t>
  </si>
  <si>
    <t>Lucia Carbajal</t>
  </si>
  <si>
    <t>Luz Maria Rojas</t>
  </si>
  <si>
    <t>Paulo Mendez</t>
  </si>
  <si>
    <t>Lucrecia Montalvo</t>
  </si>
  <si>
    <t>Juan Rodriguez</t>
  </si>
  <si>
    <t>Adriana Avalos</t>
  </si>
  <si>
    <t>Manuel Monclova</t>
  </si>
  <si>
    <t>Jorge Rubio</t>
  </si>
  <si>
    <t>Ricardo Espinosa</t>
  </si>
  <si>
    <t>Tania Luna</t>
  </si>
  <si>
    <t>Icela Zuñiga</t>
  </si>
  <si>
    <t>Edna Rangel</t>
  </si>
  <si>
    <t>Erika Rangel</t>
  </si>
  <si>
    <t>Martin Malverde</t>
  </si>
  <si>
    <t>Carlos Mendieta</t>
  </si>
  <si>
    <t>Sabrina Ortus</t>
  </si>
  <si>
    <t>Samuel Tapia</t>
  </si>
  <si>
    <t>Dolores Pablo</t>
  </si>
  <si>
    <t>Socorro Torres</t>
  </si>
  <si>
    <t>Evelyn Chuz</t>
  </si>
  <si>
    <t>Leah Silva</t>
  </si>
  <si>
    <t>Zoe Avalos</t>
  </si>
  <si>
    <t>Wendy Zuñiga</t>
  </si>
  <si>
    <t>Juan Torres</t>
  </si>
  <si>
    <t>Margarita Sanchez</t>
  </si>
  <si>
    <t>Carlos Fierro</t>
  </si>
  <si>
    <t>Jose Valdez</t>
  </si>
  <si>
    <t>Julian Restrepo</t>
  </si>
  <si>
    <t>Diego Solano</t>
  </si>
  <si>
    <t>Scott Dempsey</t>
  </si>
  <si>
    <t>Elvia Mora</t>
  </si>
  <si>
    <t>Bertha Mejia</t>
  </si>
  <si>
    <t>Emilio Hernandez</t>
  </si>
  <si>
    <t>Toribio Sanchez</t>
  </si>
  <si>
    <t>Jorge Nieto</t>
  </si>
  <si>
    <t>Maximiliano Monrroy</t>
  </si>
  <si>
    <t>Diego Valdovinos</t>
  </si>
  <si>
    <t>Jesus Cortes</t>
  </si>
  <si>
    <t>Leonor Islas</t>
  </si>
  <si>
    <t>Maricarmen Solano</t>
  </si>
  <si>
    <t>Diccionario de Datos - Pagos 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</si>
</sst>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4" formatCode="_-&quot;$&quot;* #,##0.00_-;\-&quot;$&quot;* #,##0.00_-;_-&quot;$&quot;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0306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44" fontId="0" fillId="0" borderId="0" xfId="0" applyNumberForma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8" fontId="0" fillId="0" borderId="1" xfId="0" applyNumberFormat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14" fontId="0" fillId="0" borderId="0" xfId="0" applyNumberFormat="1" applyAlignment="1">
      <alignment horizontal="left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4"/>
  <sheetViews>
    <sheetView tabSelected="1" workbookViewId="0">
      <selection activeCell="D46" sqref="D46"/>
    </sheetView>
  </sheetViews>
  <sheetFormatPr baseColWidth="10" defaultColWidth="8.88671875" defaultRowHeight="14.4" x14ac:dyDescent="0.3"/>
  <cols>
    <col min="1" max="1" width="4.88671875" bestFit="1" customWidth="1"/>
    <col min="2" max="2" width="16.6640625" bestFit="1" customWidth="1"/>
    <col min="3" max="3" width="21.109375" bestFit="1" customWidth="1"/>
    <col min="4" max="4" width="19.109375" bestFit="1" customWidth="1"/>
    <col min="5" max="5" width="6" bestFit="1" customWidth="1"/>
    <col min="6" max="6" width="5" bestFit="1" customWidth="1"/>
    <col min="7" max="7" width="21.5546875" bestFit="1" customWidth="1"/>
    <col min="8" max="8" width="17.77734375" bestFit="1" customWidth="1"/>
    <col min="9" max="9" width="7.33203125" bestFit="1" customWidth="1"/>
    <col min="10" max="10" width="14.33203125" bestFit="1" customWidth="1"/>
    <col min="11" max="11" width="18.33203125" bestFit="1" customWidth="1"/>
    <col min="12" max="12" width="15.109375" bestFit="1" customWidth="1"/>
    <col min="13" max="13" width="10.21875" bestFit="1" customWidth="1"/>
    <col min="14" max="14" width="20.44140625" bestFit="1" customWidth="1"/>
    <col min="15" max="15" width="18.5546875" bestFit="1" customWidth="1"/>
    <col min="16" max="16" width="16.6640625" bestFit="1" customWidth="1"/>
  </cols>
  <sheetData>
    <row r="1" spans="1:16" x14ac:dyDescent="0.3">
      <c r="A1" s="1" t="s">
        <v>0</v>
      </c>
      <c r="B1" s="1" t="s">
        <v>1</v>
      </c>
      <c r="C1" s="1" t="s">
        <v>83</v>
      </c>
      <c r="D1" s="1" t="s">
        <v>2</v>
      </c>
      <c r="E1" s="1" t="s">
        <v>3</v>
      </c>
      <c r="F1" s="1" t="s">
        <v>4</v>
      </c>
      <c r="G1" s="1" t="s">
        <v>84</v>
      </c>
      <c r="H1" s="1" t="s">
        <v>85</v>
      </c>
      <c r="I1" s="1" t="s">
        <v>5</v>
      </c>
      <c r="J1" s="1" t="s">
        <v>86</v>
      </c>
      <c r="K1" s="1" t="s">
        <v>87</v>
      </c>
      <c r="L1" s="1" t="s">
        <v>88</v>
      </c>
      <c r="M1" s="1" t="s">
        <v>6</v>
      </c>
      <c r="N1" s="1" t="s">
        <v>89</v>
      </c>
      <c r="O1" s="1" t="s">
        <v>90</v>
      </c>
      <c r="P1" s="1" t="s">
        <v>96</v>
      </c>
    </row>
    <row r="2" spans="1:16" x14ac:dyDescent="0.3">
      <c r="A2">
        <v>1</v>
      </c>
      <c r="B2" t="s">
        <v>7</v>
      </c>
      <c r="C2" t="s">
        <v>8</v>
      </c>
      <c r="D2" t="s">
        <v>9</v>
      </c>
      <c r="E2" t="s">
        <v>10</v>
      </c>
      <c r="F2">
        <v>2026</v>
      </c>
      <c r="G2" s="2">
        <v>850</v>
      </c>
      <c r="H2" s="2">
        <v>100</v>
      </c>
      <c r="I2" t="s">
        <v>95</v>
      </c>
      <c r="J2" t="s">
        <v>37</v>
      </c>
      <c r="K2" t="s">
        <v>92</v>
      </c>
      <c r="L2" t="s">
        <v>21</v>
      </c>
      <c r="M2" t="s">
        <v>12</v>
      </c>
      <c r="N2" t="s">
        <v>22</v>
      </c>
      <c r="O2">
        <v>0</v>
      </c>
      <c r="P2" s="2">
        <f>(G2+H2)*O2</f>
        <v>0</v>
      </c>
    </row>
    <row r="3" spans="1:16" x14ac:dyDescent="0.3">
      <c r="A3">
        <v>2</v>
      </c>
      <c r="B3" t="s">
        <v>14</v>
      </c>
      <c r="C3" t="s">
        <v>15</v>
      </c>
      <c r="D3" t="s">
        <v>9</v>
      </c>
      <c r="E3" t="s">
        <v>10</v>
      </c>
      <c r="F3">
        <v>2026</v>
      </c>
      <c r="G3" s="2">
        <v>850</v>
      </c>
      <c r="H3" s="2">
        <v>0</v>
      </c>
      <c r="I3" t="s">
        <v>19</v>
      </c>
      <c r="J3" s="8">
        <v>46032</v>
      </c>
      <c r="K3" t="s">
        <v>93</v>
      </c>
      <c r="L3" t="s">
        <v>21</v>
      </c>
      <c r="M3" t="s">
        <v>12</v>
      </c>
      <c r="N3" t="s">
        <v>22</v>
      </c>
      <c r="O3">
        <v>0</v>
      </c>
      <c r="P3" s="2">
        <f t="shared" ref="P3:P54" si="0">(G3+H3)*O3</f>
        <v>0</v>
      </c>
    </row>
    <row r="4" spans="1:16" x14ac:dyDescent="0.3">
      <c r="A4">
        <v>3</v>
      </c>
      <c r="B4" t="s">
        <v>16</v>
      </c>
      <c r="C4" t="s">
        <v>15</v>
      </c>
      <c r="D4" t="s">
        <v>9</v>
      </c>
      <c r="E4" t="s">
        <v>10</v>
      </c>
      <c r="F4">
        <v>2026</v>
      </c>
      <c r="G4" s="2">
        <v>850</v>
      </c>
      <c r="H4" s="2">
        <v>100</v>
      </c>
      <c r="I4" t="s">
        <v>11</v>
      </c>
      <c r="K4" t="s">
        <v>94</v>
      </c>
      <c r="L4" t="s">
        <v>12</v>
      </c>
      <c r="M4" t="s">
        <v>12</v>
      </c>
      <c r="N4" t="s">
        <v>13</v>
      </c>
      <c r="O4">
        <v>3</v>
      </c>
      <c r="P4" s="2">
        <f t="shared" si="0"/>
        <v>2850</v>
      </c>
    </row>
    <row r="5" spans="1:16" x14ac:dyDescent="0.3">
      <c r="A5">
        <v>4</v>
      </c>
      <c r="B5" t="s">
        <v>17</v>
      </c>
      <c r="C5" t="s">
        <v>8</v>
      </c>
      <c r="D5" t="s">
        <v>9</v>
      </c>
      <c r="E5" t="s">
        <v>10</v>
      </c>
      <c r="F5">
        <v>2026</v>
      </c>
      <c r="G5" s="2">
        <v>850</v>
      </c>
      <c r="H5" s="2">
        <v>100</v>
      </c>
      <c r="I5" t="s">
        <v>11</v>
      </c>
      <c r="K5" t="s">
        <v>94</v>
      </c>
      <c r="L5" t="s">
        <v>12</v>
      </c>
      <c r="M5" t="s">
        <v>12</v>
      </c>
      <c r="N5" t="s">
        <v>13</v>
      </c>
      <c r="O5">
        <v>1</v>
      </c>
      <c r="P5" s="2">
        <f t="shared" si="0"/>
        <v>950</v>
      </c>
    </row>
    <row r="6" spans="1:16" x14ac:dyDescent="0.3">
      <c r="A6">
        <v>5</v>
      </c>
      <c r="B6" t="s">
        <v>18</v>
      </c>
      <c r="C6" t="s">
        <v>15</v>
      </c>
      <c r="D6" t="s">
        <v>9</v>
      </c>
      <c r="E6" t="s">
        <v>10</v>
      </c>
      <c r="F6">
        <v>2026</v>
      </c>
      <c r="G6" s="2">
        <v>850</v>
      </c>
      <c r="H6" s="2">
        <v>100</v>
      </c>
      <c r="I6" t="s">
        <v>19</v>
      </c>
      <c r="J6" t="s">
        <v>20</v>
      </c>
      <c r="K6" t="s">
        <v>92</v>
      </c>
      <c r="L6" t="s">
        <v>21</v>
      </c>
      <c r="M6" t="s">
        <v>12</v>
      </c>
      <c r="N6" t="s">
        <v>22</v>
      </c>
      <c r="O6">
        <v>0</v>
      </c>
      <c r="P6" s="2">
        <f t="shared" si="0"/>
        <v>0</v>
      </c>
    </row>
    <row r="7" spans="1:16" x14ac:dyDescent="0.3">
      <c r="A7">
        <v>6</v>
      </c>
      <c r="B7" t="s">
        <v>97</v>
      </c>
      <c r="C7" t="s">
        <v>15</v>
      </c>
      <c r="D7" t="s">
        <v>9</v>
      </c>
      <c r="E7" t="s">
        <v>10</v>
      </c>
      <c r="F7">
        <v>2026</v>
      </c>
      <c r="G7" s="2">
        <v>850</v>
      </c>
      <c r="H7" s="2">
        <v>0</v>
      </c>
      <c r="I7" t="s">
        <v>19</v>
      </c>
      <c r="J7" t="s">
        <v>24</v>
      </c>
      <c r="K7" t="s">
        <v>93</v>
      </c>
      <c r="L7" t="s">
        <v>25</v>
      </c>
      <c r="M7">
        <v>171141811</v>
      </c>
      <c r="N7" t="s">
        <v>22</v>
      </c>
      <c r="O7">
        <v>0</v>
      </c>
      <c r="P7" s="2">
        <f t="shared" si="0"/>
        <v>0</v>
      </c>
    </row>
    <row r="8" spans="1:16" x14ac:dyDescent="0.3">
      <c r="A8">
        <v>7</v>
      </c>
      <c r="B8" t="s">
        <v>23</v>
      </c>
      <c r="C8" t="s">
        <v>15</v>
      </c>
      <c r="D8" t="s">
        <v>9</v>
      </c>
      <c r="E8" t="s">
        <v>10</v>
      </c>
      <c r="F8">
        <v>2026</v>
      </c>
      <c r="G8" s="2">
        <v>850</v>
      </c>
      <c r="H8" s="2">
        <v>0</v>
      </c>
      <c r="I8" t="s">
        <v>19</v>
      </c>
      <c r="J8" t="s">
        <v>26</v>
      </c>
      <c r="K8" t="s">
        <v>93</v>
      </c>
      <c r="L8" t="s">
        <v>25</v>
      </c>
      <c r="M8">
        <v>944663991</v>
      </c>
      <c r="N8" t="s">
        <v>22</v>
      </c>
      <c r="O8">
        <v>0</v>
      </c>
      <c r="P8" s="2">
        <f t="shared" si="0"/>
        <v>0</v>
      </c>
    </row>
    <row r="9" spans="1:16" x14ac:dyDescent="0.3">
      <c r="A9">
        <v>8</v>
      </c>
      <c r="B9" t="s">
        <v>27</v>
      </c>
      <c r="C9" t="s">
        <v>8</v>
      </c>
      <c r="D9" t="s">
        <v>9</v>
      </c>
      <c r="E9" t="s">
        <v>10</v>
      </c>
      <c r="F9">
        <v>2026</v>
      </c>
      <c r="G9" s="2">
        <v>850</v>
      </c>
      <c r="H9" s="2">
        <v>100</v>
      </c>
      <c r="I9" t="s">
        <v>19</v>
      </c>
      <c r="J9" t="s">
        <v>28</v>
      </c>
      <c r="K9" t="s">
        <v>92</v>
      </c>
      <c r="L9" t="s">
        <v>25</v>
      </c>
      <c r="M9">
        <v>881205074</v>
      </c>
      <c r="N9" t="s">
        <v>22</v>
      </c>
      <c r="O9">
        <v>0</v>
      </c>
      <c r="P9" s="2">
        <f t="shared" si="0"/>
        <v>0</v>
      </c>
    </row>
    <row r="10" spans="1:16" x14ac:dyDescent="0.3">
      <c r="A10">
        <v>9</v>
      </c>
      <c r="B10" t="s">
        <v>29</v>
      </c>
      <c r="C10" t="s">
        <v>15</v>
      </c>
      <c r="D10" t="s">
        <v>9</v>
      </c>
      <c r="E10" t="s">
        <v>10</v>
      </c>
      <c r="F10">
        <v>2026</v>
      </c>
      <c r="G10" s="2">
        <v>850</v>
      </c>
      <c r="H10" s="2">
        <v>0</v>
      </c>
      <c r="I10" t="s">
        <v>19</v>
      </c>
      <c r="J10" t="s">
        <v>30</v>
      </c>
      <c r="K10" t="s">
        <v>93</v>
      </c>
      <c r="L10" t="s">
        <v>25</v>
      </c>
      <c r="M10">
        <v>997702429</v>
      </c>
      <c r="N10" t="s">
        <v>22</v>
      </c>
      <c r="O10">
        <v>0</v>
      </c>
      <c r="P10" s="2">
        <f t="shared" si="0"/>
        <v>0</v>
      </c>
    </row>
    <row r="11" spans="1:16" x14ac:dyDescent="0.3">
      <c r="A11">
        <v>10</v>
      </c>
      <c r="B11" t="s">
        <v>98</v>
      </c>
      <c r="C11" t="s">
        <v>15</v>
      </c>
      <c r="D11" t="s">
        <v>9</v>
      </c>
      <c r="E11" t="s">
        <v>10</v>
      </c>
      <c r="F11">
        <v>2026</v>
      </c>
      <c r="G11" s="2">
        <v>850</v>
      </c>
      <c r="H11" s="2">
        <v>100</v>
      </c>
      <c r="I11" t="s">
        <v>19</v>
      </c>
      <c r="J11" t="s">
        <v>31</v>
      </c>
      <c r="K11" t="s">
        <v>92</v>
      </c>
      <c r="L11" t="s">
        <v>21</v>
      </c>
      <c r="M11" t="s">
        <v>12</v>
      </c>
      <c r="N11" t="s">
        <v>22</v>
      </c>
      <c r="O11">
        <v>0</v>
      </c>
      <c r="P11" s="2">
        <f t="shared" si="0"/>
        <v>0</v>
      </c>
    </row>
    <row r="12" spans="1:16" x14ac:dyDescent="0.3">
      <c r="A12">
        <v>11</v>
      </c>
      <c r="B12" t="s">
        <v>99</v>
      </c>
      <c r="C12" t="s">
        <v>8</v>
      </c>
      <c r="D12" t="s">
        <v>9</v>
      </c>
      <c r="E12" t="s">
        <v>10</v>
      </c>
      <c r="F12">
        <v>2026</v>
      </c>
      <c r="G12" s="2">
        <v>850</v>
      </c>
      <c r="H12" s="2">
        <v>0</v>
      </c>
      <c r="I12" t="s">
        <v>19</v>
      </c>
      <c r="J12" t="s">
        <v>32</v>
      </c>
      <c r="K12" t="s">
        <v>93</v>
      </c>
      <c r="L12" t="s">
        <v>25</v>
      </c>
      <c r="M12">
        <v>330269930</v>
      </c>
      <c r="N12" t="s">
        <v>22</v>
      </c>
      <c r="O12">
        <v>0</v>
      </c>
      <c r="P12" s="2">
        <f t="shared" si="0"/>
        <v>0</v>
      </c>
    </row>
    <row r="13" spans="1:16" x14ac:dyDescent="0.3">
      <c r="A13">
        <v>12</v>
      </c>
      <c r="B13" t="s">
        <v>100</v>
      </c>
      <c r="C13" t="s">
        <v>8</v>
      </c>
      <c r="D13" t="s">
        <v>9</v>
      </c>
      <c r="E13" t="s">
        <v>10</v>
      </c>
      <c r="F13">
        <v>2026</v>
      </c>
      <c r="G13" s="2">
        <v>850</v>
      </c>
      <c r="H13" s="2">
        <v>100</v>
      </c>
      <c r="I13" t="s">
        <v>11</v>
      </c>
      <c r="K13" t="s">
        <v>94</v>
      </c>
      <c r="L13" t="s">
        <v>12</v>
      </c>
      <c r="M13" t="s">
        <v>12</v>
      </c>
      <c r="N13" t="s">
        <v>13</v>
      </c>
      <c r="O13">
        <v>2</v>
      </c>
      <c r="P13" s="2">
        <f t="shared" si="0"/>
        <v>1900</v>
      </c>
    </row>
    <row r="14" spans="1:16" x14ac:dyDescent="0.3">
      <c r="A14">
        <v>13</v>
      </c>
      <c r="B14" t="s">
        <v>101</v>
      </c>
      <c r="C14" t="s">
        <v>15</v>
      </c>
      <c r="D14" t="s">
        <v>9</v>
      </c>
      <c r="E14" t="s">
        <v>10</v>
      </c>
      <c r="F14">
        <v>2026</v>
      </c>
      <c r="G14" s="2">
        <v>850</v>
      </c>
      <c r="H14" s="2">
        <v>0</v>
      </c>
      <c r="I14" t="s">
        <v>19</v>
      </c>
      <c r="J14" t="s">
        <v>30</v>
      </c>
      <c r="K14" t="s">
        <v>93</v>
      </c>
      <c r="L14" t="s">
        <v>25</v>
      </c>
      <c r="M14">
        <v>946274027</v>
      </c>
      <c r="N14" t="s">
        <v>22</v>
      </c>
      <c r="O14">
        <v>0</v>
      </c>
      <c r="P14" s="2">
        <f t="shared" si="0"/>
        <v>0</v>
      </c>
    </row>
    <row r="15" spans="1:16" x14ac:dyDescent="0.3">
      <c r="A15">
        <v>14</v>
      </c>
      <c r="B15" t="s">
        <v>102</v>
      </c>
      <c r="C15" t="s">
        <v>15</v>
      </c>
      <c r="D15" t="s">
        <v>9</v>
      </c>
      <c r="E15" t="s">
        <v>10</v>
      </c>
      <c r="F15">
        <v>2026</v>
      </c>
      <c r="G15" s="2">
        <v>850</v>
      </c>
      <c r="H15" s="2">
        <v>0</v>
      </c>
      <c r="I15" t="s">
        <v>95</v>
      </c>
      <c r="J15" t="s">
        <v>33</v>
      </c>
      <c r="K15" t="s">
        <v>93</v>
      </c>
      <c r="L15" t="s">
        <v>25</v>
      </c>
      <c r="M15">
        <v>290159476</v>
      </c>
      <c r="N15" t="s">
        <v>22</v>
      </c>
      <c r="O15">
        <v>0</v>
      </c>
      <c r="P15" s="2">
        <f t="shared" si="0"/>
        <v>0</v>
      </c>
    </row>
    <row r="16" spans="1:16" x14ac:dyDescent="0.3">
      <c r="A16">
        <v>15</v>
      </c>
      <c r="B16" t="s">
        <v>103</v>
      </c>
      <c r="C16" t="s">
        <v>8</v>
      </c>
      <c r="D16" t="s">
        <v>9</v>
      </c>
      <c r="E16" t="s">
        <v>10</v>
      </c>
      <c r="F16">
        <v>2026</v>
      </c>
      <c r="G16" s="2">
        <v>850</v>
      </c>
      <c r="H16" s="2">
        <v>100</v>
      </c>
      <c r="I16" t="s">
        <v>11</v>
      </c>
      <c r="K16" t="s">
        <v>94</v>
      </c>
      <c r="L16" t="s">
        <v>12</v>
      </c>
      <c r="M16" t="s">
        <v>12</v>
      </c>
      <c r="N16" t="s">
        <v>13</v>
      </c>
      <c r="O16">
        <v>10</v>
      </c>
      <c r="P16" s="2">
        <f t="shared" si="0"/>
        <v>9500</v>
      </c>
    </row>
    <row r="17" spans="1:16" x14ac:dyDescent="0.3">
      <c r="A17">
        <v>16</v>
      </c>
      <c r="B17" t="s">
        <v>104</v>
      </c>
      <c r="C17" t="s">
        <v>8</v>
      </c>
      <c r="D17" t="s">
        <v>9</v>
      </c>
      <c r="E17" t="s">
        <v>10</v>
      </c>
      <c r="F17">
        <v>2026</v>
      </c>
      <c r="G17" s="2">
        <v>850</v>
      </c>
      <c r="H17" s="2">
        <v>0</v>
      </c>
      <c r="I17" t="s">
        <v>19</v>
      </c>
      <c r="J17" t="s">
        <v>33</v>
      </c>
      <c r="K17" t="s">
        <v>93</v>
      </c>
      <c r="L17" t="s">
        <v>25</v>
      </c>
      <c r="M17">
        <v>610811870</v>
      </c>
      <c r="N17" t="s">
        <v>22</v>
      </c>
      <c r="O17">
        <v>0</v>
      </c>
      <c r="P17" s="2">
        <f t="shared" si="0"/>
        <v>0</v>
      </c>
    </row>
    <row r="18" spans="1:16" x14ac:dyDescent="0.3">
      <c r="A18">
        <v>17</v>
      </c>
      <c r="B18" t="s">
        <v>34</v>
      </c>
      <c r="C18" t="s">
        <v>15</v>
      </c>
      <c r="D18" t="s">
        <v>9</v>
      </c>
      <c r="E18" t="s">
        <v>10</v>
      </c>
      <c r="F18">
        <v>2026</v>
      </c>
      <c r="G18" s="2">
        <v>850</v>
      </c>
      <c r="H18" s="2">
        <v>0</v>
      </c>
      <c r="I18" t="s">
        <v>19</v>
      </c>
      <c r="J18" t="s">
        <v>35</v>
      </c>
      <c r="K18" t="s">
        <v>93</v>
      </c>
      <c r="L18" t="s">
        <v>21</v>
      </c>
      <c r="M18" t="s">
        <v>12</v>
      </c>
      <c r="N18" t="s">
        <v>22</v>
      </c>
      <c r="O18">
        <v>0</v>
      </c>
      <c r="P18" s="2">
        <f t="shared" si="0"/>
        <v>0</v>
      </c>
    </row>
    <row r="19" spans="1:16" x14ac:dyDescent="0.3">
      <c r="A19">
        <v>18</v>
      </c>
      <c r="B19" t="s">
        <v>36</v>
      </c>
      <c r="C19" t="s">
        <v>15</v>
      </c>
      <c r="D19" t="s">
        <v>9</v>
      </c>
      <c r="E19" t="s">
        <v>10</v>
      </c>
      <c r="F19">
        <v>2026</v>
      </c>
      <c r="G19" s="2">
        <v>850</v>
      </c>
      <c r="H19" s="2">
        <v>100</v>
      </c>
      <c r="I19" t="s">
        <v>19</v>
      </c>
      <c r="J19" t="s">
        <v>37</v>
      </c>
      <c r="K19" t="s">
        <v>92</v>
      </c>
      <c r="L19" t="s">
        <v>21</v>
      </c>
      <c r="M19" t="s">
        <v>12</v>
      </c>
      <c r="N19" t="s">
        <v>22</v>
      </c>
      <c r="O19">
        <v>0</v>
      </c>
      <c r="P19" s="2">
        <f t="shared" si="0"/>
        <v>0</v>
      </c>
    </row>
    <row r="20" spans="1:16" x14ac:dyDescent="0.3">
      <c r="A20">
        <v>19</v>
      </c>
      <c r="B20" t="s">
        <v>38</v>
      </c>
      <c r="C20" t="s">
        <v>8</v>
      </c>
      <c r="D20" t="s">
        <v>9</v>
      </c>
      <c r="E20" t="s">
        <v>10</v>
      </c>
      <c r="F20">
        <v>2026</v>
      </c>
      <c r="G20" s="2">
        <v>850</v>
      </c>
      <c r="H20" s="2">
        <v>0</v>
      </c>
      <c r="I20" t="s">
        <v>19</v>
      </c>
      <c r="J20" t="s">
        <v>35</v>
      </c>
      <c r="K20" t="s">
        <v>93</v>
      </c>
      <c r="L20" t="s">
        <v>25</v>
      </c>
      <c r="M20">
        <v>141095725</v>
      </c>
      <c r="N20" t="s">
        <v>22</v>
      </c>
      <c r="O20">
        <v>0</v>
      </c>
      <c r="P20" s="2">
        <f t="shared" si="0"/>
        <v>0</v>
      </c>
    </row>
    <row r="21" spans="1:16" x14ac:dyDescent="0.3">
      <c r="A21">
        <v>20</v>
      </c>
      <c r="B21" t="s">
        <v>18</v>
      </c>
      <c r="C21" t="s">
        <v>8</v>
      </c>
      <c r="D21" t="s">
        <v>9</v>
      </c>
      <c r="E21" t="s">
        <v>10</v>
      </c>
      <c r="F21">
        <v>2026</v>
      </c>
      <c r="G21" s="2">
        <v>850</v>
      </c>
      <c r="H21" s="2">
        <v>100</v>
      </c>
      <c r="I21" t="s">
        <v>11</v>
      </c>
      <c r="K21" t="s">
        <v>94</v>
      </c>
      <c r="L21" t="s">
        <v>12</v>
      </c>
      <c r="M21" t="s">
        <v>12</v>
      </c>
      <c r="N21" t="s">
        <v>13</v>
      </c>
      <c r="O21">
        <v>3</v>
      </c>
      <c r="P21" s="2">
        <f t="shared" si="0"/>
        <v>2850</v>
      </c>
    </row>
    <row r="22" spans="1:16" x14ac:dyDescent="0.3">
      <c r="A22">
        <v>21</v>
      </c>
      <c r="B22" t="s">
        <v>105</v>
      </c>
      <c r="C22" t="s">
        <v>15</v>
      </c>
      <c r="D22" t="s">
        <v>9</v>
      </c>
      <c r="E22" t="s">
        <v>10</v>
      </c>
      <c r="F22">
        <v>2026</v>
      </c>
      <c r="G22" s="2">
        <v>850</v>
      </c>
      <c r="H22" s="2">
        <v>0</v>
      </c>
      <c r="I22" t="s">
        <v>19</v>
      </c>
      <c r="J22" t="s">
        <v>24</v>
      </c>
      <c r="K22" t="s">
        <v>93</v>
      </c>
      <c r="L22" t="s">
        <v>25</v>
      </c>
      <c r="M22">
        <v>307911307</v>
      </c>
      <c r="N22" t="s">
        <v>22</v>
      </c>
      <c r="O22">
        <v>0</v>
      </c>
      <c r="P22" s="2">
        <f t="shared" si="0"/>
        <v>0</v>
      </c>
    </row>
    <row r="23" spans="1:16" x14ac:dyDescent="0.3">
      <c r="A23">
        <v>22</v>
      </c>
      <c r="B23" t="s">
        <v>106</v>
      </c>
      <c r="C23" t="s">
        <v>8</v>
      </c>
      <c r="D23" t="s">
        <v>9</v>
      </c>
      <c r="E23" t="s">
        <v>10</v>
      </c>
      <c r="F23">
        <v>2026</v>
      </c>
      <c r="G23" s="2">
        <v>850</v>
      </c>
      <c r="H23" s="2">
        <v>100</v>
      </c>
      <c r="I23" t="s">
        <v>19</v>
      </c>
      <c r="J23" s="8">
        <v>46038</v>
      </c>
      <c r="K23" t="s">
        <v>92</v>
      </c>
      <c r="L23" t="s">
        <v>21</v>
      </c>
      <c r="M23" t="s">
        <v>12</v>
      </c>
      <c r="N23" t="s">
        <v>22</v>
      </c>
      <c r="O23">
        <v>0</v>
      </c>
      <c r="P23" s="2">
        <f t="shared" si="0"/>
        <v>0</v>
      </c>
    </row>
    <row r="24" spans="1:16" x14ac:dyDescent="0.3">
      <c r="A24">
        <v>23</v>
      </c>
      <c r="B24" t="s">
        <v>107</v>
      </c>
      <c r="C24" t="s">
        <v>8</v>
      </c>
      <c r="D24" t="s">
        <v>9</v>
      </c>
      <c r="E24" t="s">
        <v>10</v>
      </c>
      <c r="F24">
        <v>2026</v>
      </c>
      <c r="G24" s="2">
        <v>850</v>
      </c>
      <c r="H24" s="2">
        <v>100</v>
      </c>
      <c r="I24" t="s">
        <v>95</v>
      </c>
      <c r="J24" t="s">
        <v>31</v>
      </c>
      <c r="K24" t="s">
        <v>92</v>
      </c>
      <c r="L24" t="s">
        <v>25</v>
      </c>
      <c r="M24">
        <v>222865960</v>
      </c>
      <c r="N24" t="s">
        <v>22</v>
      </c>
      <c r="O24">
        <v>0</v>
      </c>
      <c r="P24" s="2">
        <f t="shared" si="0"/>
        <v>0</v>
      </c>
    </row>
    <row r="25" spans="1:16" x14ac:dyDescent="0.3">
      <c r="A25">
        <v>24</v>
      </c>
      <c r="B25" t="s">
        <v>108</v>
      </c>
      <c r="C25" t="s">
        <v>8</v>
      </c>
      <c r="D25" t="s">
        <v>9</v>
      </c>
      <c r="E25" t="s">
        <v>10</v>
      </c>
      <c r="F25">
        <v>2026</v>
      </c>
      <c r="G25" s="2">
        <v>850</v>
      </c>
      <c r="H25" s="2">
        <v>100</v>
      </c>
      <c r="I25" t="s">
        <v>11</v>
      </c>
      <c r="K25" t="s">
        <v>94</v>
      </c>
      <c r="L25" t="s">
        <v>12</v>
      </c>
      <c r="M25" t="s">
        <v>12</v>
      </c>
      <c r="N25" t="s">
        <v>13</v>
      </c>
      <c r="O25">
        <v>1</v>
      </c>
      <c r="P25" s="2">
        <f t="shared" si="0"/>
        <v>950</v>
      </c>
    </row>
    <row r="26" spans="1:16" x14ac:dyDescent="0.3">
      <c r="A26">
        <v>25</v>
      </c>
      <c r="B26" t="s">
        <v>109</v>
      </c>
      <c r="C26" t="s">
        <v>15</v>
      </c>
      <c r="D26" t="s">
        <v>9</v>
      </c>
      <c r="E26" t="s">
        <v>10</v>
      </c>
      <c r="F26">
        <v>2026</v>
      </c>
      <c r="G26" s="2">
        <v>850</v>
      </c>
      <c r="H26" s="2">
        <v>100</v>
      </c>
      <c r="I26" t="s">
        <v>19</v>
      </c>
      <c r="J26" s="8">
        <v>46039</v>
      </c>
      <c r="K26" t="s">
        <v>92</v>
      </c>
      <c r="L26" t="s">
        <v>21</v>
      </c>
      <c r="M26" t="s">
        <v>12</v>
      </c>
      <c r="N26" t="s">
        <v>22</v>
      </c>
      <c r="O26">
        <v>0</v>
      </c>
      <c r="P26" s="2">
        <f t="shared" si="0"/>
        <v>0</v>
      </c>
    </row>
    <row r="27" spans="1:16" x14ac:dyDescent="0.3">
      <c r="A27">
        <v>26</v>
      </c>
      <c r="B27" t="s">
        <v>110</v>
      </c>
      <c r="C27" t="s">
        <v>8</v>
      </c>
      <c r="D27" t="s">
        <v>9</v>
      </c>
      <c r="E27" t="s">
        <v>10</v>
      </c>
      <c r="F27">
        <v>2026</v>
      </c>
      <c r="G27" s="2">
        <v>850</v>
      </c>
      <c r="H27" s="2">
        <v>100</v>
      </c>
      <c r="I27" t="s">
        <v>11</v>
      </c>
      <c r="K27" t="s">
        <v>94</v>
      </c>
      <c r="L27" t="s">
        <v>12</v>
      </c>
      <c r="M27" t="s">
        <v>12</v>
      </c>
      <c r="N27" t="s">
        <v>13</v>
      </c>
      <c r="O27">
        <v>2</v>
      </c>
      <c r="P27" s="2">
        <f t="shared" si="0"/>
        <v>1900</v>
      </c>
    </row>
    <row r="28" spans="1:16" x14ac:dyDescent="0.3">
      <c r="A28">
        <v>27</v>
      </c>
      <c r="B28" t="s">
        <v>111</v>
      </c>
      <c r="C28" t="s">
        <v>15</v>
      </c>
      <c r="D28" t="s">
        <v>9</v>
      </c>
      <c r="E28" t="s">
        <v>10</v>
      </c>
      <c r="F28">
        <v>2026</v>
      </c>
      <c r="G28" s="2">
        <v>850</v>
      </c>
      <c r="H28" s="2">
        <v>100</v>
      </c>
      <c r="I28" t="s">
        <v>11</v>
      </c>
      <c r="K28" t="s">
        <v>94</v>
      </c>
      <c r="L28" t="s">
        <v>12</v>
      </c>
      <c r="M28" t="s">
        <v>12</v>
      </c>
      <c r="N28" t="s">
        <v>13</v>
      </c>
      <c r="O28">
        <v>2</v>
      </c>
      <c r="P28" s="2">
        <f t="shared" si="0"/>
        <v>1900</v>
      </c>
    </row>
    <row r="29" spans="1:16" x14ac:dyDescent="0.3">
      <c r="A29">
        <v>28</v>
      </c>
      <c r="B29" t="s">
        <v>112</v>
      </c>
      <c r="C29" t="s">
        <v>8</v>
      </c>
      <c r="D29" t="s">
        <v>9</v>
      </c>
      <c r="E29" t="s">
        <v>10</v>
      </c>
      <c r="F29">
        <v>2026</v>
      </c>
      <c r="G29" s="2">
        <v>850</v>
      </c>
      <c r="H29" s="2">
        <v>0</v>
      </c>
      <c r="I29" t="s">
        <v>19</v>
      </c>
      <c r="J29" s="8">
        <v>46031</v>
      </c>
      <c r="K29" t="s">
        <v>93</v>
      </c>
      <c r="L29" t="s">
        <v>21</v>
      </c>
      <c r="M29" t="s">
        <v>12</v>
      </c>
      <c r="N29" t="s">
        <v>22</v>
      </c>
      <c r="O29">
        <v>0</v>
      </c>
      <c r="P29" s="2">
        <f t="shared" si="0"/>
        <v>0</v>
      </c>
    </row>
    <row r="30" spans="1:16" x14ac:dyDescent="0.3">
      <c r="A30">
        <v>29</v>
      </c>
      <c r="B30" t="s">
        <v>113</v>
      </c>
      <c r="C30" t="s">
        <v>8</v>
      </c>
      <c r="D30" t="s">
        <v>9</v>
      </c>
      <c r="E30" t="s">
        <v>10</v>
      </c>
      <c r="F30">
        <v>2026</v>
      </c>
      <c r="G30" s="2">
        <v>850</v>
      </c>
      <c r="H30" s="2">
        <v>100</v>
      </c>
      <c r="I30" t="s">
        <v>19</v>
      </c>
      <c r="J30" s="8">
        <v>46043</v>
      </c>
      <c r="K30" t="s">
        <v>92</v>
      </c>
      <c r="L30" t="s">
        <v>21</v>
      </c>
      <c r="M30" t="s">
        <v>12</v>
      </c>
      <c r="N30" t="s">
        <v>22</v>
      </c>
      <c r="O30">
        <v>0</v>
      </c>
      <c r="P30" s="2">
        <f t="shared" si="0"/>
        <v>0</v>
      </c>
    </row>
    <row r="31" spans="1:16" x14ac:dyDescent="0.3">
      <c r="A31">
        <v>30</v>
      </c>
      <c r="B31" t="s">
        <v>114</v>
      </c>
      <c r="C31" t="s">
        <v>8</v>
      </c>
      <c r="D31" t="s">
        <v>9</v>
      </c>
      <c r="E31" t="s">
        <v>10</v>
      </c>
      <c r="F31">
        <v>2026</v>
      </c>
      <c r="G31" s="2">
        <v>850</v>
      </c>
      <c r="H31" s="2">
        <v>0</v>
      </c>
      <c r="I31" t="s">
        <v>19</v>
      </c>
      <c r="J31" t="s">
        <v>33</v>
      </c>
      <c r="K31" t="s">
        <v>93</v>
      </c>
      <c r="L31" t="s">
        <v>25</v>
      </c>
      <c r="M31">
        <v>853704879</v>
      </c>
      <c r="N31" t="s">
        <v>22</v>
      </c>
      <c r="O31">
        <v>0</v>
      </c>
      <c r="P31" s="2">
        <f t="shared" si="0"/>
        <v>0</v>
      </c>
    </row>
    <row r="32" spans="1:16" x14ac:dyDescent="0.3">
      <c r="A32">
        <v>31</v>
      </c>
      <c r="B32" t="s">
        <v>115</v>
      </c>
      <c r="C32" t="s">
        <v>15</v>
      </c>
      <c r="D32" t="s">
        <v>9</v>
      </c>
      <c r="E32" t="s">
        <v>10</v>
      </c>
      <c r="F32">
        <v>2026</v>
      </c>
      <c r="G32" s="2">
        <v>850</v>
      </c>
      <c r="H32" s="2">
        <v>0</v>
      </c>
      <c r="I32" t="s">
        <v>19</v>
      </c>
      <c r="J32" s="8">
        <v>46026</v>
      </c>
      <c r="K32" t="s">
        <v>93</v>
      </c>
      <c r="L32" t="s">
        <v>21</v>
      </c>
      <c r="M32" t="s">
        <v>12</v>
      </c>
      <c r="N32" t="s">
        <v>22</v>
      </c>
      <c r="O32">
        <v>0</v>
      </c>
      <c r="P32" s="2">
        <f t="shared" si="0"/>
        <v>0</v>
      </c>
    </row>
    <row r="33" spans="1:16" x14ac:dyDescent="0.3">
      <c r="A33">
        <v>32</v>
      </c>
      <c r="B33" t="s">
        <v>116</v>
      </c>
      <c r="C33" t="s">
        <v>8</v>
      </c>
      <c r="D33" t="s">
        <v>9</v>
      </c>
      <c r="E33" t="s">
        <v>10</v>
      </c>
      <c r="F33">
        <v>2026</v>
      </c>
      <c r="G33" s="2">
        <v>850</v>
      </c>
      <c r="H33" s="2">
        <v>0</v>
      </c>
      <c r="I33" t="s">
        <v>19</v>
      </c>
      <c r="J33" t="s">
        <v>35</v>
      </c>
      <c r="K33" t="s">
        <v>93</v>
      </c>
      <c r="L33" t="s">
        <v>25</v>
      </c>
      <c r="M33">
        <v>524585566</v>
      </c>
      <c r="N33" t="s">
        <v>22</v>
      </c>
      <c r="O33">
        <v>0</v>
      </c>
      <c r="P33" s="2">
        <f t="shared" si="0"/>
        <v>0</v>
      </c>
    </row>
    <row r="34" spans="1:16" x14ac:dyDescent="0.3">
      <c r="A34">
        <v>33</v>
      </c>
      <c r="B34" t="s">
        <v>117</v>
      </c>
      <c r="C34" t="s">
        <v>8</v>
      </c>
      <c r="D34" t="s">
        <v>9</v>
      </c>
      <c r="E34" t="s">
        <v>10</v>
      </c>
      <c r="F34">
        <v>2026</v>
      </c>
      <c r="G34" s="2">
        <v>850</v>
      </c>
      <c r="H34" s="2">
        <v>0</v>
      </c>
      <c r="I34" t="s">
        <v>95</v>
      </c>
      <c r="J34" s="8">
        <v>46032</v>
      </c>
      <c r="K34" t="s">
        <v>93</v>
      </c>
      <c r="L34" t="s">
        <v>25</v>
      </c>
      <c r="M34">
        <v>438676729</v>
      </c>
      <c r="N34" t="s">
        <v>22</v>
      </c>
      <c r="O34">
        <v>0</v>
      </c>
      <c r="P34" s="2">
        <f t="shared" si="0"/>
        <v>0</v>
      </c>
    </row>
    <row r="35" spans="1:16" x14ac:dyDescent="0.3">
      <c r="A35">
        <v>34</v>
      </c>
      <c r="B35" t="s">
        <v>118</v>
      </c>
      <c r="C35" t="s">
        <v>8</v>
      </c>
      <c r="D35" t="s">
        <v>9</v>
      </c>
      <c r="E35" t="s">
        <v>10</v>
      </c>
      <c r="F35">
        <v>2026</v>
      </c>
      <c r="G35" s="2">
        <v>850</v>
      </c>
      <c r="H35" s="2">
        <v>0</v>
      </c>
      <c r="I35" t="s">
        <v>19</v>
      </c>
      <c r="J35" t="s">
        <v>39</v>
      </c>
      <c r="K35" t="s">
        <v>93</v>
      </c>
      <c r="L35" t="s">
        <v>21</v>
      </c>
      <c r="M35" t="s">
        <v>12</v>
      </c>
      <c r="N35" t="s">
        <v>22</v>
      </c>
      <c r="O35">
        <v>0</v>
      </c>
      <c r="P35" s="2">
        <f t="shared" si="0"/>
        <v>0</v>
      </c>
    </row>
    <row r="36" spans="1:16" x14ac:dyDescent="0.3">
      <c r="A36">
        <v>35</v>
      </c>
      <c r="B36" t="s">
        <v>119</v>
      </c>
      <c r="C36" t="s">
        <v>15</v>
      </c>
      <c r="D36" t="s">
        <v>9</v>
      </c>
      <c r="E36" t="s">
        <v>10</v>
      </c>
      <c r="F36">
        <v>2026</v>
      </c>
      <c r="G36" s="2">
        <v>850</v>
      </c>
      <c r="H36" s="2">
        <v>100</v>
      </c>
      <c r="I36" t="s">
        <v>11</v>
      </c>
      <c r="K36" t="s">
        <v>94</v>
      </c>
      <c r="L36" t="s">
        <v>12</v>
      </c>
      <c r="M36" t="s">
        <v>12</v>
      </c>
      <c r="N36" t="s">
        <v>13</v>
      </c>
      <c r="O36">
        <v>3</v>
      </c>
      <c r="P36" s="2">
        <f t="shared" si="0"/>
        <v>2850</v>
      </c>
    </row>
    <row r="37" spans="1:16" x14ac:dyDescent="0.3">
      <c r="A37">
        <v>36</v>
      </c>
      <c r="B37" t="s">
        <v>40</v>
      </c>
      <c r="C37" t="s">
        <v>8</v>
      </c>
      <c r="D37" t="s">
        <v>9</v>
      </c>
      <c r="E37" t="s">
        <v>10</v>
      </c>
      <c r="F37">
        <v>2026</v>
      </c>
      <c r="G37" s="2">
        <v>850</v>
      </c>
      <c r="H37" s="2">
        <v>0</v>
      </c>
      <c r="I37" t="s">
        <v>19</v>
      </c>
      <c r="J37" t="s">
        <v>26</v>
      </c>
      <c r="K37" t="s">
        <v>93</v>
      </c>
      <c r="L37" t="s">
        <v>21</v>
      </c>
      <c r="M37" t="s">
        <v>12</v>
      </c>
      <c r="N37" t="s">
        <v>22</v>
      </c>
      <c r="O37">
        <v>0</v>
      </c>
      <c r="P37" s="2">
        <f t="shared" si="0"/>
        <v>0</v>
      </c>
    </row>
    <row r="38" spans="1:16" x14ac:dyDescent="0.3">
      <c r="A38">
        <v>37</v>
      </c>
      <c r="B38" t="s">
        <v>120</v>
      </c>
      <c r="C38" t="s">
        <v>15</v>
      </c>
      <c r="D38" t="s">
        <v>9</v>
      </c>
      <c r="E38" t="s">
        <v>10</v>
      </c>
      <c r="F38">
        <v>2026</v>
      </c>
      <c r="G38" s="2">
        <v>850</v>
      </c>
      <c r="H38" s="2">
        <v>0</v>
      </c>
      <c r="I38" t="s">
        <v>19</v>
      </c>
      <c r="J38" t="s">
        <v>35</v>
      </c>
      <c r="K38" t="s">
        <v>93</v>
      </c>
      <c r="L38" t="s">
        <v>25</v>
      </c>
      <c r="M38">
        <v>699061101</v>
      </c>
      <c r="N38" t="s">
        <v>22</v>
      </c>
      <c r="O38">
        <v>0</v>
      </c>
      <c r="P38" s="2">
        <f t="shared" si="0"/>
        <v>0</v>
      </c>
    </row>
    <row r="39" spans="1:16" x14ac:dyDescent="0.3">
      <c r="A39">
        <v>38</v>
      </c>
      <c r="B39" t="s">
        <v>121</v>
      </c>
      <c r="C39" t="s">
        <v>8</v>
      </c>
      <c r="D39" t="s">
        <v>9</v>
      </c>
      <c r="E39" t="s">
        <v>10</v>
      </c>
      <c r="F39">
        <v>2026</v>
      </c>
      <c r="G39" s="2">
        <v>850</v>
      </c>
      <c r="H39" s="2">
        <v>100</v>
      </c>
      <c r="I39" t="s">
        <v>19</v>
      </c>
      <c r="J39" t="s">
        <v>41</v>
      </c>
      <c r="K39" t="s">
        <v>92</v>
      </c>
      <c r="L39" t="s">
        <v>21</v>
      </c>
      <c r="M39" t="s">
        <v>12</v>
      </c>
      <c r="N39" t="s">
        <v>22</v>
      </c>
      <c r="O39">
        <v>0</v>
      </c>
      <c r="P39" s="2">
        <f t="shared" si="0"/>
        <v>0</v>
      </c>
    </row>
    <row r="40" spans="1:16" x14ac:dyDescent="0.3">
      <c r="A40">
        <v>39</v>
      </c>
      <c r="B40" t="s">
        <v>122</v>
      </c>
      <c r="C40" t="s">
        <v>15</v>
      </c>
      <c r="D40" t="s">
        <v>9</v>
      </c>
      <c r="E40" t="s">
        <v>10</v>
      </c>
      <c r="F40">
        <v>2026</v>
      </c>
      <c r="G40" s="2">
        <v>850</v>
      </c>
      <c r="H40" s="2">
        <v>100</v>
      </c>
      <c r="I40" t="s">
        <v>11</v>
      </c>
      <c r="K40" t="s">
        <v>94</v>
      </c>
      <c r="L40" t="s">
        <v>12</v>
      </c>
      <c r="M40" t="s">
        <v>12</v>
      </c>
      <c r="N40" t="s">
        <v>13</v>
      </c>
      <c r="O40">
        <v>1</v>
      </c>
      <c r="P40" s="2">
        <f t="shared" si="0"/>
        <v>950</v>
      </c>
    </row>
    <row r="41" spans="1:16" x14ac:dyDescent="0.3">
      <c r="A41">
        <v>40</v>
      </c>
      <c r="B41" t="s">
        <v>123</v>
      </c>
      <c r="C41" t="s">
        <v>8</v>
      </c>
      <c r="D41" t="s">
        <v>9</v>
      </c>
      <c r="E41" t="s">
        <v>10</v>
      </c>
      <c r="F41">
        <v>2026</v>
      </c>
      <c r="G41" s="2">
        <v>850</v>
      </c>
      <c r="H41" s="2">
        <v>100</v>
      </c>
      <c r="I41" t="s">
        <v>11</v>
      </c>
      <c r="K41" t="s">
        <v>94</v>
      </c>
      <c r="L41" t="s">
        <v>12</v>
      </c>
      <c r="M41" t="s">
        <v>12</v>
      </c>
      <c r="N41" t="s">
        <v>13</v>
      </c>
      <c r="O41">
        <v>2</v>
      </c>
      <c r="P41" s="2">
        <f t="shared" si="0"/>
        <v>1900</v>
      </c>
    </row>
    <row r="42" spans="1:16" x14ac:dyDescent="0.3">
      <c r="A42">
        <v>41</v>
      </c>
      <c r="B42" t="s">
        <v>124</v>
      </c>
      <c r="C42" t="s">
        <v>8</v>
      </c>
      <c r="D42" t="s">
        <v>9</v>
      </c>
      <c r="E42" t="s">
        <v>10</v>
      </c>
      <c r="F42">
        <v>2026</v>
      </c>
      <c r="G42" s="2">
        <v>850</v>
      </c>
      <c r="H42" s="2">
        <v>0</v>
      </c>
      <c r="I42" t="s">
        <v>19</v>
      </c>
      <c r="J42" t="s">
        <v>32</v>
      </c>
      <c r="K42" t="s">
        <v>93</v>
      </c>
      <c r="L42" t="s">
        <v>21</v>
      </c>
      <c r="M42" t="s">
        <v>12</v>
      </c>
      <c r="N42" t="s">
        <v>22</v>
      </c>
      <c r="O42">
        <v>0</v>
      </c>
      <c r="P42" s="2">
        <f t="shared" si="0"/>
        <v>0</v>
      </c>
    </row>
    <row r="43" spans="1:16" x14ac:dyDescent="0.3">
      <c r="A43">
        <v>42</v>
      </c>
      <c r="B43" t="s">
        <v>125</v>
      </c>
      <c r="C43" t="s">
        <v>8</v>
      </c>
      <c r="D43" t="s">
        <v>9</v>
      </c>
      <c r="E43" t="s">
        <v>10</v>
      </c>
      <c r="F43">
        <v>2026</v>
      </c>
      <c r="G43" s="2">
        <v>850</v>
      </c>
      <c r="H43" s="2">
        <v>0</v>
      </c>
      <c r="I43" t="s">
        <v>19</v>
      </c>
      <c r="J43" t="s">
        <v>39</v>
      </c>
      <c r="K43" t="s">
        <v>93</v>
      </c>
      <c r="L43" t="s">
        <v>25</v>
      </c>
      <c r="M43">
        <v>433385870</v>
      </c>
      <c r="N43" t="s">
        <v>22</v>
      </c>
      <c r="O43">
        <v>0</v>
      </c>
      <c r="P43" s="2">
        <f t="shared" si="0"/>
        <v>0</v>
      </c>
    </row>
    <row r="44" spans="1:16" x14ac:dyDescent="0.3">
      <c r="A44">
        <v>43</v>
      </c>
      <c r="B44" t="s">
        <v>126</v>
      </c>
      <c r="C44" t="s">
        <v>8</v>
      </c>
      <c r="D44" t="s">
        <v>9</v>
      </c>
      <c r="E44" t="s">
        <v>10</v>
      </c>
      <c r="F44">
        <v>2026</v>
      </c>
      <c r="G44" s="2">
        <v>850</v>
      </c>
      <c r="H44" s="2">
        <v>0</v>
      </c>
      <c r="I44" t="s">
        <v>19</v>
      </c>
      <c r="J44" t="s">
        <v>42</v>
      </c>
      <c r="K44" t="s">
        <v>93</v>
      </c>
      <c r="L44" t="s">
        <v>21</v>
      </c>
      <c r="M44" t="s">
        <v>12</v>
      </c>
      <c r="N44" t="s">
        <v>22</v>
      </c>
      <c r="O44">
        <v>0</v>
      </c>
      <c r="P44" s="2">
        <f t="shared" si="0"/>
        <v>0</v>
      </c>
    </row>
    <row r="45" spans="1:16" x14ac:dyDescent="0.3">
      <c r="A45">
        <v>44</v>
      </c>
      <c r="B45" t="s">
        <v>127</v>
      </c>
      <c r="C45" t="s">
        <v>8</v>
      </c>
      <c r="D45" t="s">
        <v>9</v>
      </c>
      <c r="E45" t="s">
        <v>10</v>
      </c>
      <c r="F45">
        <v>2026</v>
      </c>
      <c r="G45" s="2">
        <v>850</v>
      </c>
      <c r="H45" s="2">
        <v>0</v>
      </c>
      <c r="I45" t="s">
        <v>95</v>
      </c>
      <c r="J45" s="8">
        <v>46032</v>
      </c>
      <c r="K45" t="s">
        <v>93</v>
      </c>
      <c r="L45" t="s">
        <v>21</v>
      </c>
      <c r="M45" t="s">
        <v>12</v>
      </c>
      <c r="N45" t="s">
        <v>22</v>
      </c>
      <c r="O45">
        <v>0</v>
      </c>
      <c r="P45" s="2">
        <f t="shared" si="0"/>
        <v>0</v>
      </c>
    </row>
    <row r="46" spans="1:16" x14ac:dyDescent="0.3">
      <c r="A46">
        <v>45</v>
      </c>
      <c r="B46" t="s">
        <v>128</v>
      </c>
      <c r="C46" t="s">
        <v>8</v>
      </c>
      <c r="D46" t="s">
        <v>9</v>
      </c>
      <c r="E46" t="s">
        <v>10</v>
      </c>
      <c r="F46">
        <v>2026</v>
      </c>
      <c r="G46" s="2">
        <v>850</v>
      </c>
      <c r="H46" s="2">
        <v>0</v>
      </c>
      <c r="I46" t="s">
        <v>19</v>
      </c>
      <c r="J46" t="s">
        <v>30</v>
      </c>
      <c r="K46" t="s">
        <v>93</v>
      </c>
      <c r="L46" t="s">
        <v>21</v>
      </c>
      <c r="M46" t="s">
        <v>12</v>
      </c>
      <c r="N46" t="s">
        <v>22</v>
      </c>
      <c r="O46">
        <v>0</v>
      </c>
      <c r="P46" s="2">
        <f t="shared" si="0"/>
        <v>0</v>
      </c>
    </row>
    <row r="47" spans="1:16" x14ac:dyDescent="0.3">
      <c r="A47">
        <v>46</v>
      </c>
      <c r="B47" t="s">
        <v>129</v>
      </c>
      <c r="C47" t="s">
        <v>15</v>
      </c>
      <c r="D47" t="s">
        <v>9</v>
      </c>
      <c r="E47" t="s">
        <v>10</v>
      </c>
      <c r="F47">
        <v>2026</v>
      </c>
      <c r="G47" s="2">
        <v>850</v>
      </c>
      <c r="H47" s="2">
        <v>100</v>
      </c>
      <c r="I47" t="s">
        <v>19</v>
      </c>
      <c r="J47" t="s">
        <v>20</v>
      </c>
      <c r="K47" t="s">
        <v>92</v>
      </c>
      <c r="L47" t="s">
        <v>25</v>
      </c>
      <c r="M47">
        <v>967267873</v>
      </c>
      <c r="N47" t="s">
        <v>22</v>
      </c>
      <c r="O47">
        <v>0</v>
      </c>
      <c r="P47" s="2">
        <f t="shared" si="0"/>
        <v>0</v>
      </c>
    </row>
    <row r="48" spans="1:16" x14ac:dyDescent="0.3">
      <c r="A48">
        <v>47</v>
      </c>
      <c r="B48" t="s">
        <v>130</v>
      </c>
      <c r="C48" t="s">
        <v>15</v>
      </c>
      <c r="D48" t="s">
        <v>9</v>
      </c>
      <c r="E48" t="s">
        <v>10</v>
      </c>
      <c r="F48">
        <v>2026</v>
      </c>
      <c r="G48" s="2">
        <v>850</v>
      </c>
      <c r="H48" s="2">
        <v>100</v>
      </c>
      <c r="I48" t="s">
        <v>11</v>
      </c>
      <c r="K48" t="s">
        <v>94</v>
      </c>
      <c r="L48" t="s">
        <v>12</v>
      </c>
      <c r="M48" t="s">
        <v>12</v>
      </c>
      <c r="N48" t="s">
        <v>13</v>
      </c>
      <c r="O48">
        <v>1</v>
      </c>
      <c r="P48" s="2">
        <f t="shared" si="0"/>
        <v>950</v>
      </c>
    </row>
    <row r="49" spans="1:16" x14ac:dyDescent="0.3">
      <c r="A49">
        <v>48</v>
      </c>
      <c r="B49" t="s">
        <v>131</v>
      </c>
      <c r="C49" t="s">
        <v>8</v>
      </c>
      <c r="D49" t="s">
        <v>9</v>
      </c>
      <c r="E49" t="s">
        <v>10</v>
      </c>
      <c r="F49">
        <v>2026</v>
      </c>
      <c r="G49" s="2">
        <v>850</v>
      </c>
      <c r="H49" s="2">
        <v>0</v>
      </c>
      <c r="I49" t="s">
        <v>19</v>
      </c>
      <c r="J49" t="s">
        <v>24</v>
      </c>
      <c r="K49" t="s">
        <v>93</v>
      </c>
      <c r="L49" t="s">
        <v>25</v>
      </c>
      <c r="M49">
        <v>754241136</v>
      </c>
      <c r="N49" t="s">
        <v>22</v>
      </c>
      <c r="O49">
        <v>0</v>
      </c>
      <c r="P49" s="2">
        <f t="shared" si="0"/>
        <v>0</v>
      </c>
    </row>
    <row r="50" spans="1:16" x14ac:dyDescent="0.3">
      <c r="A50">
        <v>49</v>
      </c>
      <c r="B50" t="s">
        <v>132</v>
      </c>
      <c r="C50" t="s">
        <v>8</v>
      </c>
      <c r="D50" t="s">
        <v>9</v>
      </c>
      <c r="E50" t="s">
        <v>10</v>
      </c>
      <c r="F50">
        <v>2026</v>
      </c>
      <c r="G50" s="2">
        <v>850</v>
      </c>
      <c r="H50" s="2">
        <v>0</v>
      </c>
      <c r="I50" t="s">
        <v>19</v>
      </c>
      <c r="J50" t="s">
        <v>30</v>
      </c>
      <c r="K50" t="s">
        <v>93</v>
      </c>
      <c r="L50" t="s">
        <v>21</v>
      </c>
      <c r="M50" t="s">
        <v>12</v>
      </c>
      <c r="N50" t="s">
        <v>22</v>
      </c>
      <c r="O50">
        <v>0</v>
      </c>
      <c r="P50" s="2">
        <f t="shared" si="0"/>
        <v>0</v>
      </c>
    </row>
    <row r="51" spans="1:16" x14ac:dyDescent="0.3">
      <c r="A51">
        <v>50</v>
      </c>
      <c r="B51" t="s">
        <v>133</v>
      </c>
      <c r="C51" t="s">
        <v>8</v>
      </c>
      <c r="D51" t="s">
        <v>9</v>
      </c>
      <c r="E51" t="s">
        <v>10</v>
      </c>
      <c r="F51">
        <v>2026</v>
      </c>
      <c r="G51" s="2">
        <v>850</v>
      </c>
      <c r="H51" s="2">
        <v>0</v>
      </c>
      <c r="I51" t="s">
        <v>19</v>
      </c>
      <c r="J51" t="s">
        <v>43</v>
      </c>
      <c r="K51" t="s">
        <v>93</v>
      </c>
      <c r="L51" t="s">
        <v>25</v>
      </c>
      <c r="M51">
        <v>430254495</v>
      </c>
      <c r="N51" t="s">
        <v>22</v>
      </c>
      <c r="O51">
        <v>0</v>
      </c>
      <c r="P51" s="2">
        <f t="shared" si="0"/>
        <v>0</v>
      </c>
    </row>
    <row r="52" spans="1:16" x14ac:dyDescent="0.3">
      <c r="A52">
        <v>51</v>
      </c>
      <c r="B52" t="s">
        <v>134</v>
      </c>
      <c r="C52" t="s">
        <v>8</v>
      </c>
      <c r="D52" t="s">
        <v>9</v>
      </c>
      <c r="E52" t="s">
        <v>10</v>
      </c>
      <c r="F52">
        <v>2026</v>
      </c>
      <c r="G52" s="2">
        <v>850</v>
      </c>
      <c r="H52" s="2">
        <v>100</v>
      </c>
      <c r="I52" t="s">
        <v>11</v>
      </c>
      <c r="K52" t="s">
        <v>94</v>
      </c>
      <c r="L52" t="s">
        <v>12</v>
      </c>
      <c r="M52" t="s">
        <v>12</v>
      </c>
      <c r="N52" t="s">
        <v>13</v>
      </c>
      <c r="O52">
        <v>1</v>
      </c>
      <c r="P52" s="2">
        <f t="shared" si="0"/>
        <v>950</v>
      </c>
    </row>
    <row r="53" spans="1:16" x14ac:dyDescent="0.3">
      <c r="A53">
        <v>52</v>
      </c>
      <c r="B53" t="s">
        <v>135</v>
      </c>
      <c r="C53" t="s">
        <v>8</v>
      </c>
      <c r="D53" t="s">
        <v>9</v>
      </c>
      <c r="E53" t="s">
        <v>10</v>
      </c>
      <c r="F53">
        <v>2026</v>
      </c>
      <c r="G53" s="2">
        <v>850</v>
      </c>
      <c r="H53" s="2">
        <v>0</v>
      </c>
      <c r="I53" t="s">
        <v>19</v>
      </c>
      <c r="J53" t="s">
        <v>30</v>
      </c>
      <c r="K53" t="s">
        <v>93</v>
      </c>
      <c r="L53" t="s">
        <v>21</v>
      </c>
      <c r="M53" t="s">
        <v>12</v>
      </c>
      <c r="N53" t="s">
        <v>22</v>
      </c>
      <c r="O53">
        <v>0</v>
      </c>
      <c r="P53" s="2">
        <f t="shared" si="0"/>
        <v>0</v>
      </c>
    </row>
    <row r="54" spans="1:16" x14ac:dyDescent="0.3">
      <c r="A54">
        <v>53</v>
      </c>
      <c r="B54" t="s">
        <v>136</v>
      </c>
      <c r="C54" t="s">
        <v>15</v>
      </c>
      <c r="D54" t="s">
        <v>9</v>
      </c>
      <c r="E54" t="s">
        <v>10</v>
      </c>
      <c r="F54">
        <v>2026</v>
      </c>
      <c r="G54" s="2">
        <v>850</v>
      </c>
      <c r="H54" s="2">
        <v>100</v>
      </c>
      <c r="I54" t="s">
        <v>11</v>
      </c>
      <c r="K54" t="s">
        <v>94</v>
      </c>
      <c r="L54" t="s">
        <v>12</v>
      </c>
      <c r="M54" t="s">
        <v>12</v>
      </c>
      <c r="N54" t="s">
        <v>13</v>
      </c>
      <c r="O54">
        <v>3</v>
      </c>
      <c r="P54" s="2">
        <f t="shared" si="0"/>
        <v>2850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84254-860D-437C-8B20-46E05F703B29}">
  <dimension ref="A1:E21"/>
  <sheetViews>
    <sheetView workbookViewId="0">
      <selection activeCell="D9" sqref="D9"/>
    </sheetView>
  </sheetViews>
  <sheetFormatPr baseColWidth="10" defaultColWidth="65.33203125" defaultRowHeight="14.4" x14ac:dyDescent="0.3"/>
  <cols>
    <col min="1" max="1" width="20.109375" bestFit="1" customWidth="1"/>
    <col min="2" max="2" width="11.6640625" bestFit="1" customWidth="1"/>
    <col min="3" max="3" width="19.44140625" bestFit="1" customWidth="1"/>
    <col min="4" max="4" width="65" bestFit="1" customWidth="1"/>
    <col min="5" max="5" width="36.109375" bestFit="1" customWidth="1"/>
  </cols>
  <sheetData>
    <row r="1" spans="1:5" ht="18" x14ac:dyDescent="0.35">
      <c r="A1" s="9" t="s">
        <v>137</v>
      </c>
      <c r="B1" s="9"/>
      <c r="C1" s="9"/>
      <c r="D1" s="9"/>
      <c r="E1" s="9"/>
    </row>
    <row r="2" spans="1:5" x14ac:dyDescent="0.3">
      <c r="A2" s="3" t="s">
        <v>44</v>
      </c>
      <c r="B2" s="3" t="s">
        <v>45</v>
      </c>
      <c r="C2" s="3" t="s">
        <v>46</v>
      </c>
      <c r="D2" s="3" t="s">
        <v>2</v>
      </c>
      <c r="E2" s="3" t="s">
        <v>47</v>
      </c>
    </row>
    <row r="3" spans="1:5" x14ac:dyDescent="0.3">
      <c r="A3" s="4" t="s">
        <v>0</v>
      </c>
      <c r="B3" s="4" t="s">
        <v>48</v>
      </c>
      <c r="C3" s="4" t="s">
        <v>49</v>
      </c>
      <c r="D3" s="4" t="s">
        <v>50</v>
      </c>
      <c r="E3" s="5" t="s">
        <v>51</v>
      </c>
    </row>
    <row r="4" spans="1:5" x14ac:dyDescent="0.3">
      <c r="A4" s="4" t="s">
        <v>1</v>
      </c>
      <c r="B4" s="4" t="s">
        <v>52</v>
      </c>
      <c r="C4" s="4" t="s">
        <v>53</v>
      </c>
      <c r="D4" s="4" t="s">
        <v>54</v>
      </c>
      <c r="E4" s="5" t="s">
        <v>55</v>
      </c>
    </row>
    <row r="5" spans="1:5" x14ac:dyDescent="0.3">
      <c r="A5" s="4" t="s">
        <v>83</v>
      </c>
      <c r="B5" s="4" t="s">
        <v>52</v>
      </c>
      <c r="C5" s="4" t="s">
        <v>53</v>
      </c>
      <c r="D5" s="4" t="s">
        <v>56</v>
      </c>
      <c r="E5" s="5" t="s">
        <v>57</v>
      </c>
    </row>
    <row r="6" spans="1:5" x14ac:dyDescent="0.3">
      <c r="A6" s="4" t="s">
        <v>2</v>
      </c>
      <c r="B6" s="4" t="s">
        <v>52</v>
      </c>
      <c r="C6" s="4" t="s">
        <v>53</v>
      </c>
      <c r="D6" s="4" t="s">
        <v>58</v>
      </c>
      <c r="E6" s="5" t="s">
        <v>9</v>
      </c>
    </row>
    <row r="7" spans="1:5" x14ac:dyDescent="0.3">
      <c r="A7" s="4" t="s">
        <v>3</v>
      </c>
      <c r="B7" s="4" t="s">
        <v>52</v>
      </c>
      <c r="C7" s="4" t="s">
        <v>59</v>
      </c>
      <c r="D7" s="4" t="s">
        <v>60</v>
      </c>
      <c r="E7" s="5" t="s">
        <v>61</v>
      </c>
    </row>
    <row r="8" spans="1:5" x14ac:dyDescent="0.3">
      <c r="A8" s="4" t="s">
        <v>4</v>
      </c>
      <c r="B8" s="4" t="s">
        <v>48</v>
      </c>
      <c r="C8" s="4" t="s">
        <v>62</v>
      </c>
      <c r="D8" s="4" t="s">
        <v>63</v>
      </c>
      <c r="E8" s="5">
        <v>2026</v>
      </c>
    </row>
    <row r="9" spans="1:5" ht="28.8" x14ac:dyDescent="0.3">
      <c r="A9" s="4" t="s">
        <v>84</v>
      </c>
      <c r="B9" s="4" t="s">
        <v>48</v>
      </c>
      <c r="C9" s="4" t="s">
        <v>64</v>
      </c>
      <c r="D9" s="4" t="s">
        <v>65</v>
      </c>
      <c r="E9" s="6">
        <v>850</v>
      </c>
    </row>
    <row r="10" spans="1:5" ht="28.8" x14ac:dyDescent="0.3">
      <c r="A10" s="4" t="s">
        <v>85</v>
      </c>
      <c r="B10" s="4" t="s">
        <v>48</v>
      </c>
      <c r="C10" s="4" t="s">
        <v>64</v>
      </c>
      <c r="D10" s="4" t="s">
        <v>66</v>
      </c>
      <c r="E10" s="6">
        <v>100</v>
      </c>
    </row>
    <row r="11" spans="1:5" x14ac:dyDescent="0.3">
      <c r="A11" s="4" t="s">
        <v>67</v>
      </c>
      <c r="B11" s="4" t="s">
        <v>52</v>
      </c>
      <c r="C11" s="4" t="s">
        <v>53</v>
      </c>
      <c r="D11" s="4" t="s">
        <v>68</v>
      </c>
      <c r="E11" s="5" t="s">
        <v>69</v>
      </c>
    </row>
    <row r="12" spans="1:5" x14ac:dyDescent="0.3">
      <c r="A12" s="4" t="s">
        <v>86</v>
      </c>
      <c r="B12" s="4" t="s">
        <v>70</v>
      </c>
      <c r="C12" s="4" t="s">
        <v>71</v>
      </c>
      <c r="D12" s="4" t="s">
        <v>72</v>
      </c>
      <c r="E12" s="7">
        <v>46027</v>
      </c>
    </row>
    <row r="13" spans="1:5" x14ac:dyDescent="0.3">
      <c r="A13" s="4" t="s">
        <v>87</v>
      </c>
      <c r="B13" s="4" t="s">
        <v>52</v>
      </c>
      <c r="C13" s="4" t="s">
        <v>59</v>
      </c>
      <c r="D13" s="4" t="s">
        <v>73</v>
      </c>
      <c r="E13" s="5" t="s">
        <v>74</v>
      </c>
    </row>
    <row r="14" spans="1:5" x14ac:dyDescent="0.3">
      <c r="A14" s="4" t="s">
        <v>88</v>
      </c>
      <c r="B14" s="4" t="s">
        <v>52</v>
      </c>
      <c r="C14" s="4" t="s">
        <v>53</v>
      </c>
      <c r="D14" s="4" t="s">
        <v>75</v>
      </c>
      <c r="E14" s="5" t="s">
        <v>76</v>
      </c>
    </row>
    <row r="15" spans="1:5" ht="28.8" x14ac:dyDescent="0.3">
      <c r="A15" s="4" t="s">
        <v>6</v>
      </c>
      <c r="B15" s="4" t="s">
        <v>52</v>
      </c>
      <c r="C15" s="4" t="s">
        <v>53</v>
      </c>
      <c r="D15" s="4" t="s">
        <v>77</v>
      </c>
      <c r="E15" s="5" t="s">
        <v>78</v>
      </c>
    </row>
    <row r="16" spans="1:5" x14ac:dyDescent="0.3">
      <c r="A16" s="4" t="s">
        <v>89</v>
      </c>
      <c r="B16" s="4" t="s">
        <v>52</v>
      </c>
      <c r="C16" s="4" t="s">
        <v>59</v>
      </c>
      <c r="D16" s="4" t="s">
        <v>79</v>
      </c>
      <c r="E16" s="5" t="s">
        <v>80</v>
      </c>
    </row>
    <row r="17" spans="1:5" x14ac:dyDescent="0.3">
      <c r="A17" s="4" t="s">
        <v>90</v>
      </c>
      <c r="B17" s="4" t="s">
        <v>48</v>
      </c>
      <c r="C17" s="4" t="s">
        <v>62</v>
      </c>
      <c r="D17" s="4" t="s">
        <v>81</v>
      </c>
      <c r="E17" s="5" t="s">
        <v>82</v>
      </c>
    </row>
    <row r="19" spans="1:5" ht="14.4" customHeight="1" x14ac:dyDescent="0.3">
      <c r="A19" s="10" t="s">
        <v>91</v>
      </c>
      <c r="B19" s="10"/>
      <c r="C19" s="10"/>
      <c r="D19" s="10"/>
      <c r="E19" s="10"/>
    </row>
    <row r="20" spans="1:5" x14ac:dyDescent="0.3">
      <c r="A20" s="10"/>
      <c r="B20" s="10"/>
      <c r="C20" s="10"/>
      <c r="D20" s="10"/>
      <c r="E20" s="10"/>
    </row>
    <row r="21" spans="1:5" x14ac:dyDescent="0.3">
      <c r="A21" s="10"/>
      <c r="B21" s="10"/>
      <c r="C21" s="10"/>
      <c r="D21" s="10"/>
      <c r="E21" s="10"/>
    </row>
  </sheetData>
  <mergeCells count="2">
    <mergeCell ref="A1:E1"/>
    <mergeCell ref="A19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Pagos_Mantenimiento_2026</vt:lpstr>
      <vt:lpstr>Diccionario_Datos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CARLOS SILVA MEJIA</cp:lastModifiedBy>
  <dcterms:created xsi:type="dcterms:W3CDTF">2026-01-17T06:48:38Z</dcterms:created>
  <dcterms:modified xsi:type="dcterms:W3CDTF">2026-01-27T06:08:54Z</dcterms:modified>
</cp:coreProperties>
</file>